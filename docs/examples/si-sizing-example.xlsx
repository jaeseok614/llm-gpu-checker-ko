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9d77f9fa6941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고객 요구사항" sheetId="1" r:id="Rf03aed76ca9f49ca"/>
    <x:sheet xmlns:r="http://schemas.openxmlformats.org/officeDocument/2006/relationships" name="가격·TCO 가정" sheetId="2" r:id="R42ba65b5c2284ae8"/>
    <x:sheet xmlns:r="http://schemas.openxmlformats.org/officeDocument/2006/relationships" name="구성안 비교" sheetId="3" r:id="R283696fb477d4b5a"/>
    <x:sheet xmlns:r="http://schemas.openxmlformats.org/officeDocument/2006/relationships" name="인프라 BOM" sheetId="4" r:id="R7905410833134fc1"/>
    <x:sheet xmlns:r="http://schemas.openxmlformats.org/officeDocument/2006/relationships" name="PoC 체크리스트" sheetId="5" r:id="R7e47fd6d46244c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#,##0"/>
    <x:numFmt numFmtId="202" formatCode="0.0%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F75B5"/>
      </x:patternFill>
    </x:fill>
  </x:fills>
  <x:borders count="10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</x:borders>
  <x:cellStyleXfs count="1">
    <x:xf numFmtId="0" fontId="0" fillId="0" borderId="0"/>
  </x:cellStyleXfs>
  <x:cellXfs count="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3" fillId="0" borderId="4" xfId="0" applyNumberFormat="1" applyFont="1" applyFill="1" applyBorder="1"/>
    <x:xf numFmtId="0" fontId="3" fillId="0" borderId="6" xfId="0" applyNumberFormat="1" applyFont="1" applyFill="1" applyBorder="1"/>
    <x:xf numFmtId="200" fontId="3" fillId="0" borderId="4" xfId="0" applyNumberFormat="1" applyFont="1" applyFill="1" applyBorder="1"/>
    <x:xf numFmtId="0" fontId="3" fillId="0" borderId="0" xfId="0" applyNumberFormat="1" applyFont="1" applyFill="1" applyBorder="1"/>
    <x:xf numFmtId="201" fontId="3" fillId="0" borderId="0" xfId="0" applyNumberFormat="1" applyFont="1" applyFill="1" applyBorder="1"/>
    <x:xf numFmtId="202" fontId="3" fillId="0" borderId="0" xfId="0" applyNumberFormat="1" applyFont="1" applyFill="1" applyBorder="1"/>
    <x:xf numFmtId="0" fontId="2" fillId="3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1" fontId="0" fillId="0" borderId="8" xfId="0" applyNumberFormat="1" applyFont="1" applyFill="1" applyBorder="1"/>
    <x:xf numFmtId="201" fontId="0" fillId="0" borderId="9" xfId="0" applyNumberFormat="1" applyFont="1" applyFill="1" applyBorder="1"/>
    <x:xf numFmtId="201" fontId="4" fillId="0" borderId="8" xfId="0" applyNumberFormat="1" applyFont="1" applyFill="1" applyBorder="1"/>
    <x:xf numFmtId="201" fontId="4" fillId="0" borderId="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da592dff2647c7" /><Relationship Type="http://schemas.openxmlformats.org/officeDocument/2006/relationships/theme" Target="/xl/theme/theme1.xml" Id="Rddf82c8ef6514449" /><Relationship Type="http://schemas.openxmlformats.org/officeDocument/2006/relationships/sharedStrings" Target="/xl/sharedStrings.xml" Id="R27f7c87ab6f9432c" /><Relationship Type="http://schemas.openxmlformats.org/officeDocument/2006/relationships/worksheet" Target="/xl/worksheets/sheet1.xml" Id="Rf03aed76ca9f49ca" /><Relationship Type="http://schemas.openxmlformats.org/officeDocument/2006/relationships/worksheet" Target="/xl/worksheets/sheet2.xml" Id="R42ba65b5c2284ae8" /><Relationship Type="http://schemas.openxmlformats.org/officeDocument/2006/relationships/worksheet" Target="/xl/worksheets/sheet3.xml" Id="R283696fb477d4b5a" /><Relationship Type="http://schemas.openxmlformats.org/officeDocument/2006/relationships/worksheet" Target="/xl/worksheets/sheet4.xml" Id="R7905410833134fc1" /><Relationship Type="http://schemas.openxmlformats.org/officeDocument/2006/relationships/worksheet" Target="/xl/worksheets/sheet5.xml" Id="R7e47fd6d46244ca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0" hidden="0" customWidth="1"/>
  </x:cols>
  <x:sheetData>
    <x:row r="1" ht="32" customHeight="1">
      <x:c r="A1" s="2" t="str">
        <x:v>AI Infra Sizing Assistant · 상담 예제</x:v>
      </x:c>
      <x:c r="B1" s="2"/>
      <x:c r="C1" s="2"/>
      <x:c r="D1" s="2"/>
    </x:row>
    <x:row r="3">
      <x:c r="A3" s="5" t="str">
        <x:v>항목</x:v>
      </x:c>
      <x:c r="B3" s="6" t="str">
        <x:v>입력값</x:v>
      </x:c>
    </x:row>
    <x:row r="4">
      <x:c r="A4" s="7" t="str">
        <x:v>프로젝트</x:v>
      </x:c>
      <x:c r="B4" s="11" t="str">
        <x:v>사내 문서 RAG 구축</x:v>
      </x:c>
    </x:row>
    <x:row r="5">
      <x:c r="A5" s="7" t="str">
        <x:v>구축 목적</x:v>
      </x:c>
      <x:c r="B5" s="11" t="str">
        <x:v>사내 문서 검색·질의응답</x:v>
      </x:c>
    </x:row>
    <x:row r="6">
      <x:c r="A6" s="7" t="str">
        <x:v>고객 업종</x:v>
      </x:c>
      <x:c r="B6" s="11" t="str">
        <x:v>제조·일반기업</x:v>
      </x:c>
    </x:row>
    <x:row r="7">
      <x:c r="A7" s="7" t="str">
        <x:v>상담 담당자</x:v>
      </x:c>
      <x:c r="B7" s="11" t="str"/>
    </x:row>
    <x:row r="8">
      <x:c r="A8" s="7" t="str">
        <x:v>보안</x:v>
      </x:c>
      <x:c r="B8" s="11" t="str">
        <x:v>내부망·외부 반출 불가</x:v>
      </x:c>
    </x:row>
    <x:row r="9">
      <x:c r="A9" s="7" t="str">
        <x:v>주 모델</x:v>
      </x:c>
      <x:c r="B9" s="11" t="str">
        <x:v>Qwen 계열 32B</x:v>
      </x:c>
    </x:row>
    <x:row r="10">
      <x:c r="A10" s="7" t="str">
        <x:v>전체 사용자</x:v>
      </x:c>
      <x:c r="B10" s="11" t="n">
        <x:v>100</x:v>
      </x:c>
    </x:row>
    <x:row r="11">
      <x:c r="A11" s="7" t="str">
        <x:v>동시 요청</x:v>
      </x:c>
      <x:c r="B11" s="11" t="n">
        <x:v>10</x:v>
      </x:c>
    </x:row>
    <x:row r="12">
      <x:c r="A12" s="7" t="str">
        <x:v>QPS</x:v>
      </x:c>
      <x:c r="B12" s="11" t="n">
        <x:v>1.25</x:v>
      </x:c>
    </x:row>
    <x:row r="13">
      <x:c r="A13" s="7" t="str">
        <x:v>평균 입력 토큰</x:v>
      </x:c>
      <x:c r="B13" s="11" t="n">
        <x:v>4096</x:v>
      </x:c>
    </x:row>
    <x:row r="14">
      <x:c r="A14" s="7" t="str">
        <x:v>최대 입력 토큰</x:v>
      </x:c>
      <x:c r="B14" s="11" t="n">
        <x:v>16384</x:v>
      </x:c>
    </x:row>
    <x:row r="15">
      <x:c r="A15" s="7" t="str">
        <x:v>평균 출력 토큰</x:v>
      </x:c>
      <x:c r="B15" s="11" t="n">
        <x:v>500</x:v>
      </x:c>
    </x:row>
    <x:row r="16">
      <x:c r="A16" s="7" t="str">
        <x:v>TTFT p95</x:v>
      </x:c>
      <x:c r="B16" s="11" t="n">
        <x:v>2</x:v>
      </x:c>
    </x:row>
    <x:row r="17">
      <x:c r="A17" s="7" t="str">
        <x:v>전체 지연 p95</x:v>
      </x:c>
      <x:c r="B17" s="11" t="n">
        <x:v>12</x:v>
      </x:c>
    </x:row>
    <x:row r="18">
      <x:c r="A18" s="7" t="str">
        <x:v>일 운영시간</x:v>
      </x:c>
      <x:c r="B18" s="11" t="n">
        <x:v>24</x:v>
      </x:c>
    </x:row>
    <x:row r="19">
      <x:c r="A19" s="7" t="str">
        <x:v>가용성</x:v>
      </x:c>
      <x:c r="B19" s="11" t="str">
        <x:v>HA</x:v>
      </x:c>
    </x:row>
    <x:row r="20">
      <x:c r="A20" s="7" t="str">
        <x:v>트래픽 증가 여유</x:v>
      </x:c>
      <x:c r="B20" s="13" t="n">
        <x:v>0.3</x:v>
      </x:c>
    </x:row>
    <x:row r="21">
      <x:c r="A21" s="7" t="str">
        <x:v>벡터 데이터 GB</x:v>
      </x:c>
      <x:c r="B21" s="11" t="n">
        <x:v>500</x:v>
      </x:c>
    </x:row>
    <x:row r="22">
      <x:c r="A22" s="9" t="str">
        <x:v>로그 GB/일</x:v>
      </x:c>
      <x:c r="B22" s="12" t="n">
        <x:v>10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</x:cols>
  <x:sheetData>
    <x:row r="1" ht="32" customHeight="1">
      <x:c r="A1" s="2" t="str">
        <x:v>가격·TCO 가정 (파란 글씨 입력)</x:v>
      </x:c>
      <x:c r="B1" s="2"/>
      <x:c r="C1" s="2"/>
      <x:c r="D1" s="2"/>
    </x:row>
    <x:row r="3">
      <x:c r="A3" s="4" t="str">
        <x:v>항목</x:v>
      </x:c>
      <x:c r="B3" s="4" t="str">
        <x:v>값</x:v>
      </x:c>
      <x:c r="C3" s="4" t="str">
        <x:v>단위</x:v>
      </x:c>
      <x:c r="D3" s="4" t="str">
        <x:v>설명</x:v>
      </x:c>
    </x:row>
    <x:row r="4">
      <x:c r="A4" t="str">
        <x:v>환율</x:v>
      </x:c>
      <x:c r="B4" s="15" t="n">
        <x:v>1400</x:v>
      </x:c>
      <x:c r="C4" t="str">
        <x:v>KRW/USD</x:v>
      </x:c>
      <x:c r="D4" t="str">
        <x:v>계획 가정</x:v>
      </x:c>
    </x:row>
    <x:row r="5">
      <x:c r="A5" t="str">
        <x:v>전력 단가</x:v>
      </x:c>
      <x:c r="B5" s="15" t="n">
        <x:v>150</x:v>
      </x:c>
      <x:c r="C5" t="str">
        <x:v>KRW/kWh</x:v>
      </x:c>
      <x:c r="D5" t="str">
        <x:v>고객 계약 단가로 수정</x:v>
      </x:c>
    </x:row>
    <x:row r="6">
      <x:c r="A6" t="str">
        <x:v>연 유지보수율</x:v>
      </x:c>
      <x:c r="B6" s="16" t="n">
        <x:v>0.1</x:v>
      </x:c>
      <x:c r="C6" t="str">
        <x:v>%</x:v>
      </x:c>
      <x:c r="D6" t="str">
        <x:v>구매비 기준</x:v>
      </x:c>
    </x:row>
    <x:row r="7">
      <x:c r="A7" t="str">
        <x:v>RTX 6000 Ada</x:v>
      </x:c>
      <x:c r="B7" s="15" t="n">
        <x:v>8500</x:v>
      </x:c>
      <x:c r="C7" t="str">
        <x:v>USD/GPU</x:v>
      </x:c>
      <x:c r="D7" t="str">
        <x:v>공급사 견적 필요</x:v>
      </x:c>
    </x:row>
    <x:row r="8">
      <x:c r="A8" t="str">
        <x:v>H100 PCIe</x:v>
      </x:c>
      <x:c r="B8" s="15" t="n">
        <x:v>30000</x:v>
      </x:c>
      <x:c r="C8" t="str">
        <x:v>USD/GPU</x:v>
      </x:c>
      <x:c r="D8" t="str">
        <x:v>공급사 견적 필요</x:v>
      </x:c>
    </x:row>
    <x:row r="9">
      <x:c r="A9" t="str">
        <x:v>H200 SXM</x:v>
      </x:c>
      <x:c r="B9" s="15" t="n">
        <x:v>40000</x:v>
      </x:c>
      <x:c r="C9" t="str">
        <x:v>USD/GPU</x:v>
      </x:c>
      <x:c r="D9" t="str">
        <x:v>공급사 견적 필요</x:v>
      </x:c>
    </x:row>
    <x:row r="10">
      <x:c r="A10" t="str">
        <x:v>서버 플랫폼</x:v>
      </x:c>
      <x:c r="B10" s="15" t="n">
        <x:v>18000</x:v>
      </x:c>
      <x:c r="C10" t="str">
        <x:v>USD/server</x:v>
      </x:c>
      <x:c r="D10" t="str">
        <x:v>CPU·RAM 기본</x:v>
      </x:c>
    </x:row>
    <x:row r="11">
      <x:c r="A11" t="str">
        <x:v>네트워크·스토리지</x:v>
      </x:c>
      <x:c r="B11" s="15" t="n">
        <x:v>5000</x:v>
      </x:c>
      <x:c r="C11" t="str">
        <x:v>USD/server</x:v>
      </x:c>
      <x:c r="D11" t="str">
        <x:v>초기 가정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</x:cols>
  <x:sheetData>
    <x:row r="1" ht="32" customHeight="1">
      <x:c r="A1" s="2" t="str">
        <x:v>경제형 · 권장형 · 확장형 비교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3">
      <x:c r="A3" s="5" t="str">
        <x:v>구성안</x:v>
      </x:c>
      <x:c r="B3" s="17" t="str">
        <x:v>GPU</x:v>
      </x:c>
      <x:c r="C3" s="17" t="str">
        <x:v>GPU 수</x:v>
      </x:c>
      <x:c r="D3" s="17" t="str">
        <x:v>서버</x:v>
      </x:c>
      <x:c r="E3" s="17" t="str">
        <x:v>GPU/서버</x:v>
      </x:c>
      <x:c r="F3" s="17" t="str">
        <x:v>CPU 코어</x:v>
      </x:c>
      <x:c r="G3" s="17" t="str">
        <x:v>RAM GB</x:v>
      </x:c>
      <x:c r="H3" s="17" t="str">
        <x:v>NVMe TB</x:v>
      </x:c>
      <x:c r="I3" s="17" t="str">
        <x:v>네트워크</x:v>
      </x:c>
      <x:c r="J3" s="17" t="str">
        <x:v>전력 W</x:v>
      </x:c>
      <x:c r="K3" s="17" t="str">
        <x:v>장애 잔여</x:v>
      </x:c>
      <x:c r="L3" s="17" t="str">
        <x:v>도입비 KRW</x:v>
      </x:c>
      <x:c r="M3" s="17" t="str">
        <x:v>연 전력비</x:v>
      </x:c>
      <x:c r="N3" s="17" t="str">
        <x:v>3년 TCO</x:v>
      </x:c>
      <x:c r="O3" s="6" t="str">
        <x:v>신뢰도</x:v>
      </x:c>
    </x:row>
    <x:row r="4">
      <x:c r="A4" s="7" t="str">
        <x:v>경제형</x:v>
      </x:c>
      <x:c r="B4" s="18" t="str">
        <x:v>RTX 6000 Ada 48GB</x:v>
      </x:c>
      <x:c r="C4" s="20" t="n">
        <x:v>2</x:v>
      </x:c>
      <x:c r="D4" s="20" t="n">
        <x:v>1</x:v>
      </x:c>
      <x:c r="E4" s="20" t="n">
        <x:v>2</x:v>
      </x:c>
      <x:c r="F4" s="20" t="n">
        <x:v>32</x:v>
      </x:c>
      <x:c r="G4" s="20" t="n">
        <x:v>256</x:v>
      </x:c>
      <x:c r="H4" s="20" t="n">
        <x:v>2</x:v>
      </x:c>
      <x:c r="I4" s="20" t="str">
        <x:v>25GbE</x:v>
      </x:c>
      <x:c r="J4" s="20" t="n">
        <x:v>2500</x:v>
      </x:c>
      <x:c r="K4" s="20" t="n">
        <x:v>6</x:v>
      </x:c>
      <x:c r="L4" s="22" t="n">
        <x:f>(C4*'가격·TCO 가정'!$B$7+D4*('가격·TCO 가정'!$B$10+'가격·TCO 가정'!$B$11))*'가격·TCO 가정'!$B$4</x:f>
        <x:v>56000000</x:v>
      </x:c>
      <x:c r="M4" s="22" t="n">
        <x:f>J4/1000*'고객 요구사항'!$B$18*365*'가격·TCO 가정'!$B$5</x:f>
        <x:v>3285000</x:v>
      </x:c>
      <x:c r="N4" s="22" t="n">
        <x:f>L4+M4*3+L4*'가격·TCO 가정'!$B$6*3</x:f>
        <x:v>82655000</x:v>
      </x:c>
      <x:c r="O4" s="8" t="str">
        <x:v>낮음</x:v>
      </x:c>
    </x:row>
    <x:row r="5">
      <x:c r="A5" s="7" t="str">
        <x:v>권장형</x:v>
      </x:c>
      <x:c r="B5" s="18" t="str">
        <x:v>H100 PCIe 80GB</x:v>
      </x:c>
      <x:c r="C5" s="20" t="n">
        <x:v>2</x:v>
      </x:c>
      <x:c r="D5" s="20" t="n">
        <x:v>1</x:v>
      </x:c>
      <x:c r="E5" s="20" t="n">
        <x:v>2</x:v>
      </x:c>
      <x:c r="F5" s="20" t="n">
        <x:v>48</x:v>
      </x:c>
      <x:c r="G5" s="20" t="n">
        <x:v>512</x:v>
      </x:c>
      <x:c r="H5" s="20" t="n">
        <x:v>3</x:v>
      </x:c>
      <x:c r="I5" s="20" t="str">
        <x:v>100GbE</x:v>
      </x:c>
      <x:c r="J5" s="20" t="n">
        <x:v>3500</x:v>
      </x:c>
      <x:c r="K5" s="20" t="n">
        <x:v>10</x:v>
      </x:c>
      <x:c r="L5" s="22" t="n">
        <x:f>(C5*'가격·TCO 가정'!$B$8+D5*('가격·TCO 가정'!$B$10+'가격·TCO 가정'!$B$11))*'가격·TCO 가정'!$B$4</x:f>
        <x:v>116200000</x:v>
      </x:c>
      <x:c r="M5" s="22" t="n">
        <x:f>J5/1000*'고객 요구사항'!$B$18*365*'가격·TCO 가정'!$B$5</x:f>
        <x:v>4599000</x:v>
      </x:c>
      <x:c r="N5" s="22" t="n">
        <x:f>L5+M5*3+L5*'가격·TCO 가정'!$B$6*3</x:f>
        <x:v>164857000</x:v>
      </x:c>
      <x:c r="O5" s="8" t="str">
        <x:v>중간</x:v>
      </x:c>
    </x:row>
    <x:row r="6">
      <x:c r="A6" s="9" t="str">
        <x:v>확장형</x:v>
      </x:c>
      <x:c r="B6" s="19" t="str">
        <x:v>H200 SXM 141GB</x:v>
      </x:c>
      <x:c r="C6" s="21" t="n">
        <x:v>4</x:v>
      </x:c>
      <x:c r="D6" s="21" t="n">
        <x:v>1</x:v>
      </x:c>
      <x:c r="E6" s="21" t="n">
        <x:v>4</x:v>
      </x:c>
      <x:c r="F6" s="21" t="n">
        <x:v>64</x:v>
      </x:c>
      <x:c r="G6" s="21" t="n">
        <x:v>1024</x:v>
      </x:c>
      <x:c r="H6" s="21" t="n">
        <x:v>4</x:v>
      </x:c>
      <x:c r="I6" s="21" t="str">
        <x:v>200GbE</x:v>
      </x:c>
      <x:c r="J6" s="21" t="n">
        <x:v>6000</x:v>
      </x:c>
      <x:c r="K6" s="21" t="n">
        <x:v>18</x:v>
      </x:c>
      <x:c r="L6" s="23" t="n">
        <x:f>(C6*'가격·TCO 가정'!$B$9+D6*('가격·TCO 가정'!$B$10+'가격·TCO 가정'!$B$11))*'가격·TCO 가정'!$B$4</x:f>
        <x:v>256200000</x:v>
      </x:c>
      <x:c r="M6" s="23" t="n">
        <x:f>J6/1000*'고객 요구사항'!$B$18*365*'가격·TCO 가정'!$B$5</x:f>
        <x:v>7884000</x:v>
      </x:c>
      <x:c r="N6" s="23" t="n">
        <x:f>L6+M6*3+L6*'가격·TCO 가정'!$B$6*3</x:f>
        <x:v>356712000</x:v>
      </x:c>
      <x:c r="O6" s="10" t="str">
        <x:v>중간</x:v>
      </x:c>
    </x:row>
  </x:sheetData>
  <x:mergeCells>
    <x:mergeCell ref="A1:O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2" customHeight="1">
      <x:c r="A1" s="2" t="str">
        <x:v>권장형 인프라 BOM</x:v>
      </x:c>
      <x:c r="B1" s="2"/>
      <x:c r="C1" s="2"/>
      <x:c r="D1" s="2"/>
      <x:c r="E1" s="2"/>
      <x:c r="F1" s="2"/>
    </x:row>
    <x:row r="3">
      <x:c r="A3" s="5" t="str">
        <x:v>구분</x:v>
      </x:c>
      <x:c r="B3" s="17" t="str">
        <x:v>항목</x:v>
      </x:c>
      <x:c r="C3" s="17" t="str">
        <x:v>수량</x:v>
      </x:c>
      <x:c r="D3" s="17" t="str">
        <x:v>요구 조건</x:v>
      </x:c>
      <x:c r="E3" s="17" t="str">
        <x:v>검증</x:v>
      </x:c>
      <x:c r="F3" s="6" t="str">
        <x:v>비고</x:v>
      </x:c>
    </x:row>
    <x:row r="4">
      <x:c r="A4" s="7" t="str">
        <x:v>GPU</x:v>
      </x:c>
      <x:c r="B4" s="18" t="str">
        <x:v>H100 PCIe 80GB</x:v>
      </x:c>
      <x:c r="C4" s="18" t="n">
        <x:v>2</x:v>
      </x:c>
      <x:c r="D4" s="18" t="str">
        <x:v>서버당 2</x:v>
      </x:c>
      <x:c r="E4" s="18" t="str">
        <x:v>벤더 견적</x:v>
      </x:c>
      <x:c r="F4" s="8" t="str">
        <x:v>최종 SKU 확인</x:v>
      </x:c>
    </x:row>
    <x:row r="5">
      <x:c r="A5" s="7" t="str">
        <x:v>서버</x:v>
      </x:c>
      <x:c r="B5" s="18" t="str">
        <x:v>2U/4U GPU 서버</x:v>
      </x:c>
      <x:c r="C5" s="18" t="n">
        <x:v>1</x:v>
      </x:c>
      <x:c r="D5" s="18" t="str">
        <x:v>PCIe Gen5</x:v>
      </x:c>
      <x:c r="E5" s="18" t="str">
        <x:v>토폴로지</x:v>
      </x:c>
      <x:c r="F5" s="8" t="str">
        <x:v>CPU-GPU-NIC 경로</x:v>
      </x:c>
    </x:row>
    <x:row r="6">
      <x:c r="A6" s="7" t="str">
        <x:v>CPU</x:v>
      </x:c>
      <x:c r="B6" s="18" t="str">
        <x:v>서버 CPU</x:v>
      </x:c>
      <x:c r="C6" s="18" t="n">
        <x:v>2</x:v>
      </x:c>
      <x:c r="D6" s="18" t="str">
        <x:v>총 48코어+</x:v>
      </x:c>
      <x:c r="E6" s="18" t="str">
        <x:v>코어/GPU</x:v>
      </x:c>
      <x:c r="F6" s="8" t="str">
        <x:v>NUMA 확인</x:v>
      </x:c>
    </x:row>
    <x:row r="7">
      <x:c r="A7" s="7" t="str">
        <x:v>RAM</x:v>
      </x:c>
      <x:c r="B7" s="18" t="str">
        <x:v>ECC RAM</x:v>
      </x:c>
      <x:c r="C7" s="18" t="n">
        <x:v>512</x:v>
      </x:c>
      <x:c r="D7" s="18" t="str">
        <x:v>GB</x:v>
      </x:c>
      <x:c r="E7" s="18" t="str">
        <x:v>용량</x:v>
      </x:c>
      <x:c r="F7" s="8" t="str">
        <x:v>모델·캐시</x:v>
      </x:c>
    </x:row>
    <x:row r="8">
      <x:c r="A8" s="7" t="str">
        <x:v>스토리지</x:v>
      </x:c>
      <x:c r="B8" s="18" t="str">
        <x:v>NVMe</x:v>
      </x:c>
      <x:c r="C8" s="18" t="n">
        <x:v>3</x:v>
      </x:c>
      <x:c r="D8" s="18" t="str">
        <x:v>TB+</x:v>
      </x:c>
      <x:c r="E8" s="18" t="str">
        <x:v>처리량</x:v>
      </x:c>
      <x:c r="F8" s="8" t="str">
        <x:v>모델·벡터DB·로그</x:v>
      </x:c>
    </x:row>
    <x:row r="9">
      <x:c r="A9" s="7" t="str">
        <x:v>네트워크</x:v>
      </x:c>
      <x:c r="B9" s="18" t="str">
        <x:v>100GbE NIC</x:v>
      </x:c>
      <x:c r="C9" s="18" t="n">
        <x:v>2</x:v>
      </x:c>
      <x:c r="D9" s="18" t="str">
        <x:v>이중화</x:v>
      </x:c>
      <x:c r="E9" s="18" t="str">
        <x:v>스위치</x:v>
      </x:c>
      <x:c r="F9" s="8" t="str">
        <x:v>East-West</x:v>
      </x:c>
    </x:row>
    <x:row r="10">
      <x:c r="A10" s="7" t="str">
        <x:v>패브릭</x:v>
      </x:c>
      <x:c r="B10" s="18" t="str">
        <x:v>Ethernet/InfiniBand</x:v>
      </x:c>
      <x:c r="C10" s="18" t="n">
        <x:v>1</x:v>
      </x:c>
      <x:c r="D10" s="18" t="str">
        <x:v>설계 선택</x:v>
      </x:c>
      <x:c r="E10" s="18" t="str">
        <x:v>지연</x:v>
      </x:c>
      <x:c r="F10" s="8" t="str">
        <x:v>멀티노드 시 검토</x:v>
      </x:c>
    </x:row>
    <x:row r="11">
      <x:c r="A11" s="7" t="str">
        <x:v>전력</x:v>
      </x:c>
      <x:c r="B11" s="18" t="str">
        <x:v>랙 전력</x:v>
      </x:c>
      <x:c r="C11" s="18" t="n">
        <x:v>3500</x:v>
      </x:c>
      <x:c r="D11" s="18" t="str">
        <x:v>W+</x:v>
      </x:c>
      <x:c r="E11" s="18" t="str">
        <x:v>PDU</x:v>
      </x:c>
      <x:c r="F11" s="8" t="str">
        <x:v>피크 여유</x:v>
      </x:c>
    </x:row>
    <x:row r="12">
      <x:c r="A12" s="7" t="str">
        <x:v>UPS</x:v>
      </x:c>
      <x:c r="B12" s="18" t="str">
        <x:v>UPS</x:v>
      </x:c>
      <x:c r="C12" s="18" t="n">
        <x:v>15</x:v>
      </x:c>
      <x:c r="D12" s="18" t="str">
        <x:v>분</x:v>
      </x:c>
      <x:c r="E12" s="18" t="str">
        <x:v>시설</x:v>
      </x:c>
      <x:c r="F12" s="8" t="str">
        <x:v>정전 정책</x:v>
      </x:c>
    </x:row>
    <x:row r="13">
      <x:c r="A13" s="9" t="str">
        <x:v>운영</x:v>
      </x:c>
      <x:c r="B13" s="19" t="str">
        <x:v>백업·모니터링</x:v>
      </x:c>
      <x:c r="C13" s="19" t="n">
        <x:v>1</x:v>
      </x:c>
      <x:c r="D13" s="19" t="str">
        <x:v>일 백업·GPU/p95/오류</x:v>
      </x:c>
      <x:c r="E13" s="19" t="str">
        <x:v>PoC</x:v>
      </x:c>
      <x:c r="F13" s="10" t="str">
        <x:v>감사로그 선택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30" hidden="0" customWidth="1"/>
    <x:col min="4" max="4" width="24" hidden="0" customWidth="1"/>
  </x:cols>
  <x:sheetData>
    <x:row r="1" ht="32" customHeight="1">
      <x:c r="A1" s="2" t="str">
        <x:v>PoC 검증 및 제안 가정</x:v>
      </x:c>
      <x:c r="B1" s="2"/>
      <x:c r="C1" s="2"/>
      <x:c r="D1" s="2"/>
    </x:row>
    <x:row r="3">
      <x:c r="A3" s="5" t="str">
        <x:v>상태</x:v>
      </x:c>
      <x:c r="B3" s="17" t="str">
        <x:v>검증 항목</x:v>
      </x:c>
      <x:c r="C3" s="17" t="str">
        <x:v>합격 기준</x:v>
      </x:c>
      <x:c r="D3" s="6" t="str">
        <x:v>비고</x:v>
      </x:c>
    </x:row>
    <x:row r="4">
      <x:c r="A4" s="7" t="str">
        <x:v>미착수</x:v>
      </x:c>
      <x:c r="B4" s="18" t="str">
        <x:v>모델 버전·양자화·런타임 확정</x:v>
      </x:c>
      <x:c r="C4" s="18" t="str">
        <x:v>배포 대상과 동일</x:v>
      </x:c>
      <x:c r="D4" s="8" t="str"/>
    </x:row>
    <x:row r="5">
      <x:c r="A5" s="7" t="str">
        <x:v>미착수</x:v>
      </x:c>
      <x:c r="B5" s="18" t="str">
        <x:v>TTFT 측정</x:v>
      </x:c>
      <x:c r="C5" s="18" t="str">
        <x:v>2초 이내</x:v>
      </x:c>
      <x:c r="D5" s="8" t="str">
        <x:v>대표 프롬프트</x:v>
      </x:c>
    </x:row>
    <x:row r="6">
      <x:c r="A6" s="7" t="str">
        <x:v>미착수</x:v>
      </x:c>
      <x:c r="B6" s="18" t="str">
        <x:v>생성 속도</x:v>
      </x:c>
      <x:c r="C6" s="18" t="str">
        <x:v>목표 tokens/s 충족</x:v>
      </x:c>
      <x:c r="D6" s="8" t="str">
        <x:v>P50/P95</x:v>
      </x:c>
    </x:row>
    <x:row r="7">
      <x:c r="A7" s="7" t="str">
        <x:v>미착수</x:v>
      </x:c>
      <x:c r="B7" s="18" t="str">
        <x:v>동시 요청 부하</x:v>
      </x:c>
      <x:c r="C7" s="18" t="str">
        <x:v>10명·오류율 1% 미만</x:v>
      </x:c>
      <x:c r="D7" s="8" t="str">
        <x:v>큐 대기 포함</x:v>
      </x:c>
    </x:row>
    <x:row r="8">
      <x:c r="A8" s="7" t="str">
        <x:v>미착수</x:v>
      </x:c>
      <x:c r="B8" s="18" t="str">
        <x:v>장애 전환</x:v>
      </x:c>
      <x:c r="C8" s="18" t="str">
        <x:v>서비스 목표 충족</x:v>
      </x:c>
      <x:c r="D8" s="8" t="str">
        <x:v>HA</x:v>
      </x:c>
    </x:row>
    <x:row r="9">
      <x:c r="A9" s="7" t="str">
        <x:v>미착수</x:v>
      </x:c>
      <x:c r="B9" s="18" t="str">
        <x:v>모니터링</x:v>
      </x:c>
      <x:c r="C9" s="18" t="str">
        <x:v>GPU·지연·오류 수집</x:v>
      </x:c>
      <x:c r="D9" s="8" t="str"/>
    </x:row>
    <x:row r="10">
      <x:c r="A10" s="9" t="str">
        <x:v>주의</x:v>
      </x:c>
      <x:c r="B10" s="19" t="str">
        <x:v>최종 수량</x:v>
      </x:c>
      <x:c r="C10" s="19" t="str">
        <x:v>실제 PoC 후 확정</x:v>
      </x:c>
      <x:c r="D10" s="10" t="str">
        <x:v>사전 산정값은 계약 보장 아님</x:v>
      </x:c>
    </x:row>
  </x:sheetData>
  <x:mergeCells>
    <x:mergeCell ref="A1:D1"/>
  </x:mergeCells>
  <x:dataValidations count="1">
    <x:dataValidation type="list" sqref="A4:A9">
      <x:formula1>"미착수,진행,완료,주의"</x:formula1>
    </x:dataValidation>
  </x:dataValidations>
  <x:pageMargins left="0.7" right="0.7" top="0.75" bottom="0.75" header="0.3" footer="0.3"/>
</x:worksheet>
</file>